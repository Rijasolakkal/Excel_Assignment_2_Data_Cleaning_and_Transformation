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e7f478e4c74bf3/Desktop/Entri Assignment/"/>
    </mc:Choice>
  </mc:AlternateContent>
  <xr:revisionPtr revIDLastSave="77" documentId="8_{6654CFB5-5131-4F0F-9D24-BB987365988A}" xr6:coauthVersionLast="47" xr6:coauthVersionMax="47" xr10:uidLastSave="{C5D6E168-FC30-49E4-8823-3F47042CCB23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O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H2" i="3" a="1"/>
  <c r="M3" i="3" l="1"/>
  <c r="M11" i="3"/>
  <c r="M14" i="3"/>
  <c r="M16" i="3"/>
  <c r="M19" i="3"/>
  <c r="M22" i="3"/>
  <c r="M24" i="3"/>
  <c r="M26" i="3"/>
  <c r="M29" i="3"/>
  <c r="M30" i="3"/>
  <c r="M32" i="3"/>
  <c r="M2" i="3"/>
  <c r="M5" i="3"/>
  <c r="M6" i="3"/>
  <c r="M7" i="3"/>
  <c r="M8" i="3"/>
  <c r="M9" i="3"/>
  <c r="M10" i="3"/>
  <c r="M12" i="3"/>
  <c r="M15" i="3"/>
  <c r="M17" i="3"/>
  <c r="M18" i="3"/>
  <c r="M21" i="3"/>
  <c r="M23" i="3"/>
  <c r="M25" i="3"/>
  <c r="M28" i="3"/>
  <c r="M31" i="3"/>
  <c r="M4" i="3"/>
  <c r="M13" i="3"/>
  <c r="M20" i="3"/>
  <c r="M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<sst xmlns="http://schemas.openxmlformats.org/spreadsheetml/2006/main" count="292" uniqueCount="121">
  <si>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</si>
  <si>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</si>
  <si>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</si>
  <si>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</si>
  <si>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</si>
  <si>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</si>
  <si>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</si>
  <si>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</si>
  <si>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</si>
  <si>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</si>
  <si>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</si>
  <si>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</si>
  <si>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</si>
  <si>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</si>
  <si>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</si>
  <si>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</si>
  <si>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</si>
  <si>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</si>
  <si>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</si>
  <si>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</si>
  <si>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</si>
  <si>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</si>
  <si>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</si>
  <si>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</si>
  <si>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</si>
  <si>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</si>
  <si>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</si>
  <si>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</si>
  <si>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</si>
  <si>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</si>
  <si>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</si>
  <si>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</si>
  <si>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</si>
  <si>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</si>
  <si>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</si>
  <si>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</si>
  <si>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</si>
  <si>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</si>
  <si>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</si>
  <si>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</si>
  <si>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</si>
  <si>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</si>
  <si>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</si>
  <si>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</si>
  <si>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</si>
  <si>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</si>
  <si>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</si>
  <si>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</si>
  <si>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</si>
  <si>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</si>
  <si>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</si>
  <si>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</si>
  <si>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</si>
  <si>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</si>
  <si>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</si>
  <si>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</si>
  <si>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</si>
  <si>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</si>
  <si>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</si>
  <si>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</si>
  <si>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</si>
  <si>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</si>
  <si>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</si>
  <si>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</si>
  <si>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</si>
  <si>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</si>
  <si>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</si>
  <si>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</si>
  <si>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</si>
  <si>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</si>
  <si>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</si>
  <si>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</si>
  <si>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</si>
  <si>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</si>
  <si>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</si>
  <si>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</si>
  <si>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</si>
  <si>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</si>
  <si>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</si>
  <si>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</si>
  <si>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</si>
  <si>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</si>
  <si>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</si>
  <si>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</si>
  <si>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</si>
  <si>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</si>
  <si>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</si>
  <si>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</si>
  <si>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</si>
  <si>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</si>
  <si>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</si>
  <si>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</si>
  <si>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</si>
  <si>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</si>
  <si>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</si>
  <si>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</si>
  <si>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</si>
  <si>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</si>
  <si>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</si>
  <si>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</si>
  <si>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</si>
  <si>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</si>
  <si>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</si>
  <si>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</si>
  <si>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</si>
  <si>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</si>
  <si>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</si>
  <si>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</si>
  <si>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</si>
  <si>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</si>
  <si>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</si>
  <si>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</si>
  <si>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</si>
  <si>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</si>
  <si>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</si>
  <si>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</si>
  <si>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(Date split, formatted as D/M/Y)Manufacturing Date</t>
  </si>
  <si>
    <t>(country code split)
Country code</t>
  </si>
  <si>
    <t>Clean inconsistency under Product Name</t>
  </si>
  <si>
    <t>Used Median to calculate the missing value</t>
  </si>
  <si>
    <t>(Brand and product merged) 
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</si>
</sst>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\-mm\-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164" fontId="5" fillId="0" borderId="0" xfId="0" applyNumberFormat="1" applyFont="1"/>
    <xf numFmtId="164" fontId="5" fillId="3" borderId="0" xfId="0" applyNumberFormat="1" applyFont="1" applyFill="1"/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9" fillId="0" borderId="0" xfId="0" applyFont="1"/>
    <xf numFmtId="0" fontId="9" fillId="3" borderId="0" xfId="0" applyFont="1" applyFill="1"/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165" fontId="8" fillId="2" borderId="0" xfId="0" applyNumberFormat="1" applyFont="1" applyFill="1" applyAlignment="1">
      <alignment horizontal="center" vertical="center" wrapText="1"/>
    </xf>
    <xf numFmtId="165" fontId="0" fillId="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66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zoomScale="106" workbookViewId="0">
      <selection activeCell="K21" sqref="K2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97" workbookViewId="0">
      <selection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E765-5697-4AAF-BECD-2A47DD01AC51}">
  <dimension ref="A1:O35"/>
  <sheetViews>
    <sheetView tabSelected="1" zoomScale="85" workbookViewId="0">
      <selection activeCell="G20" sqref="G20"/>
    </sheetView>
  </sheetViews>
  <sheetFormatPr defaultRowHeight="13.2" x14ac:dyDescent="0.25"/>
  <cols>
    <col min="1" max="1" width="15.109375" bestFit="1" customWidth="1"/>
    <col min="2" max="2" width="15.6640625" customWidth="1"/>
    <col min="3" max="3" width="13.77734375" customWidth="1"/>
    <col min="4" max="4" width="14.44140625" style="15" customWidth="1"/>
    <col min="5" max="5" width="8.44140625" bestFit="1" customWidth="1"/>
    <col min="6" max="6" width="14.109375" customWidth="1"/>
    <col min="8" max="8" width="24.6640625" style="20" customWidth="1"/>
    <col min="10" max="10" width="18.21875" style="26" bestFit="1" customWidth="1"/>
    <col min="11" max="11" width="12.88671875" style="22" bestFit="1" customWidth="1"/>
    <col min="13" max="13" width="21.44140625" bestFit="1" customWidth="1"/>
    <col min="15" max="15" width="11.77734375" customWidth="1"/>
  </cols>
  <sheetData>
    <row r="1" spans="1:15" ht="66" x14ac:dyDescent="0.25">
      <c r="A1" s="13" t="s">
        <v>19</v>
      </c>
      <c r="B1" s="13" t="s">
        <v>20</v>
      </c>
      <c r="C1" s="13" t="s">
        <v>21</v>
      </c>
      <c r="D1" s="14" t="s">
        <v>22</v>
      </c>
      <c r="E1" s="13" t="s">
        <v>23</v>
      </c>
      <c r="F1" s="12" t="s">
        <v>24</v>
      </c>
      <c r="G1" s="23"/>
      <c r="H1" s="12" t="s">
        <v>118</v>
      </c>
      <c r="I1" s="23"/>
      <c r="J1" s="24" t="s">
        <v>116</v>
      </c>
      <c r="K1" s="12" t="s">
        <v>117</v>
      </c>
      <c r="L1" s="23"/>
      <c r="M1" s="12" t="s">
        <v>120</v>
      </c>
      <c r="N1" s="23"/>
      <c r="O1" s="12" t="s">
        <v>119</v>
      </c>
    </row>
    <row r="2" spans="1:15" x14ac:dyDescent="0.25">
      <c r="A2" s="17" t="s">
        <v>25</v>
      </c>
      <c r="B2" s="5" t="s">
        <v>26</v>
      </c>
      <c r="C2" s="5" t="s">
        <v>27</v>
      </c>
      <c r="D2" s="10">
        <v>1000</v>
      </c>
      <c r="E2" s="5">
        <v>30</v>
      </c>
      <c r="F2" s="5" t="s">
        <v>28</v>
      </c>
      <c r="H2" s="19" t="str" cm="1">
        <f t="array" ref="H2:H35">PROPER(B2:B35)</f>
        <v>Laptop</v>
      </c>
      <c r="J2" s="25">
        <f>DATEVALUE(LEFT(A2,6)&amp;"-2026")</f>
        <v>46050</v>
      </c>
      <c r="K2" s="21" t="str">
        <f>RIGHT(A2,2)</f>
        <v>US</v>
      </c>
      <c r="M2" s="9" t="str">
        <f>C2&amp;" "&amp;H2</f>
        <v>Dell Laptop</v>
      </c>
      <c r="O2" s="9">
        <f>MEDIAN(D2:D35)</f>
        <v>130</v>
      </c>
    </row>
    <row r="3" spans="1:15" x14ac:dyDescent="0.25">
      <c r="A3" s="18" t="s">
        <v>29</v>
      </c>
      <c r="B3" s="8" t="s">
        <v>30</v>
      </c>
      <c r="C3" s="8" t="s">
        <v>31</v>
      </c>
      <c r="D3" s="11">
        <v>80</v>
      </c>
      <c r="E3" s="8">
        <v>15</v>
      </c>
      <c r="F3" s="8" t="s">
        <v>32</v>
      </c>
      <c r="H3" s="19" t="str">
        <v>Sneakers</v>
      </c>
      <c r="J3" s="25">
        <f t="shared" ref="J3:J32" si="0">DATEVALUE(LEFT(A3,6)&amp;"-2026")</f>
        <v>46068</v>
      </c>
      <c r="K3" s="21" t="str">
        <f t="shared" ref="K3:K32" si="1">RIGHT(A3,2)</f>
        <v>US</v>
      </c>
      <c r="M3" s="9" t="str">
        <f t="shared" ref="M3:M32" si="2">C3&amp;" "&amp;H3</f>
        <v>Nike Sneakers</v>
      </c>
    </row>
    <row r="4" spans="1:15" x14ac:dyDescent="0.25">
      <c r="A4" s="17" t="s">
        <v>33</v>
      </c>
      <c r="B4" s="5" t="s">
        <v>34</v>
      </c>
      <c r="C4" s="5" t="s">
        <v>35</v>
      </c>
      <c r="D4" s="10">
        <v>130</v>
      </c>
      <c r="E4" s="5">
        <v>40</v>
      </c>
      <c r="F4" s="5" t="s">
        <v>36</v>
      </c>
      <c r="H4" s="19" t="str">
        <v>Coffee Maker</v>
      </c>
      <c r="J4" s="25">
        <f t="shared" si="0"/>
        <v>46084</v>
      </c>
      <c r="K4" s="21" t="str">
        <f t="shared" si="1"/>
        <v>US</v>
      </c>
      <c r="M4" s="9" t="str">
        <f t="shared" si="2"/>
        <v>Keurig Coffee Maker</v>
      </c>
      <c r="O4" s="16"/>
    </row>
    <row r="5" spans="1:15" x14ac:dyDescent="0.25">
      <c r="A5" s="8" t="s">
        <v>37</v>
      </c>
      <c r="B5" s="8" t="s">
        <v>38</v>
      </c>
      <c r="C5" s="8" t="s">
        <v>39</v>
      </c>
      <c r="D5" s="11">
        <v>900</v>
      </c>
      <c r="E5" s="8">
        <v>25</v>
      </c>
      <c r="F5" s="8" t="s">
        <v>28</v>
      </c>
      <c r="H5" s="19" t="str">
        <v>Smartphone</v>
      </c>
      <c r="J5" s="25">
        <f t="shared" si="0"/>
        <v>46123</v>
      </c>
      <c r="K5" s="21" t="str">
        <f t="shared" si="1"/>
        <v>US</v>
      </c>
      <c r="M5" s="9" t="str">
        <f t="shared" si="2"/>
        <v>Samsung Smartphone</v>
      </c>
    </row>
    <row r="6" spans="1:15" x14ac:dyDescent="0.25">
      <c r="A6" s="5" t="s">
        <v>40</v>
      </c>
      <c r="B6" s="5" t="s">
        <v>41</v>
      </c>
      <c r="C6" s="5" t="s">
        <v>42</v>
      </c>
      <c r="D6" s="10">
        <v>70</v>
      </c>
      <c r="E6" s="5">
        <v>20</v>
      </c>
      <c r="F6" s="17" t="s">
        <v>75</v>
      </c>
      <c r="H6" s="19" t="str">
        <v>Backpack</v>
      </c>
      <c r="J6" s="25">
        <f t="shared" si="0"/>
        <v>46164</v>
      </c>
      <c r="K6" s="21" t="str">
        <f t="shared" si="1"/>
        <v>US</v>
      </c>
      <c r="M6" s="9" t="str">
        <f t="shared" si="2"/>
        <v>North Face Backpack</v>
      </c>
    </row>
    <row r="7" spans="1:15" x14ac:dyDescent="0.25">
      <c r="A7" s="8" t="s">
        <v>43</v>
      </c>
      <c r="B7" s="8" t="s">
        <v>44</v>
      </c>
      <c r="C7" s="8" t="s">
        <v>45</v>
      </c>
      <c r="D7" s="11">
        <v>130</v>
      </c>
      <c r="E7" s="8">
        <v>45</v>
      </c>
      <c r="F7" s="8" t="s">
        <v>28</v>
      </c>
      <c r="H7" s="19" t="str">
        <v>Headphones</v>
      </c>
      <c r="J7" s="25">
        <f t="shared" si="0"/>
        <v>46180</v>
      </c>
      <c r="K7" s="21" t="str">
        <f t="shared" si="1"/>
        <v>UK</v>
      </c>
      <c r="M7" s="9" t="str">
        <f t="shared" si="2"/>
        <v>Sony Headphones</v>
      </c>
    </row>
    <row r="8" spans="1:15" x14ac:dyDescent="0.25">
      <c r="A8" s="5" t="s">
        <v>47</v>
      </c>
      <c r="B8" s="5" t="s">
        <v>48</v>
      </c>
      <c r="C8" s="5" t="s">
        <v>49</v>
      </c>
      <c r="D8" s="10">
        <v>30</v>
      </c>
      <c r="E8" s="5">
        <v>5</v>
      </c>
      <c r="F8" s="5" t="s">
        <v>32</v>
      </c>
      <c r="H8" s="19" t="str">
        <v>T-Shirt</v>
      </c>
      <c r="J8" s="25">
        <f t="shared" si="0"/>
        <v>46222</v>
      </c>
      <c r="K8" s="21" t="str">
        <f t="shared" si="1"/>
        <v>UK</v>
      </c>
      <c r="M8" s="9" t="str">
        <f t="shared" si="2"/>
        <v>Adidas T-Shirt</v>
      </c>
    </row>
    <row r="9" spans="1:15" x14ac:dyDescent="0.25">
      <c r="A9" s="8" t="s">
        <v>50</v>
      </c>
      <c r="B9" s="8" t="s">
        <v>51</v>
      </c>
      <c r="C9" s="8" t="s">
        <v>52</v>
      </c>
      <c r="D9" s="11">
        <v>90</v>
      </c>
      <c r="E9" s="8">
        <v>35</v>
      </c>
      <c r="F9" s="8" t="s">
        <v>36</v>
      </c>
      <c r="H9" s="19" t="str">
        <v>Blender</v>
      </c>
      <c r="J9" s="25">
        <f t="shared" si="0"/>
        <v>46257</v>
      </c>
      <c r="K9" s="21" t="str">
        <f t="shared" si="1"/>
        <v>UK</v>
      </c>
      <c r="M9" s="9" t="str">
        <f t="shared" si="2"/>
        <v>Ninja Blender</v>
      </c>
    </row>
    <row r="10" spans="1:15" x14ac:dyDescent="0.25">
      <c r="A10" s="5" t="s">
        <v>53</v>
      </c>
      <c r="B10" s="5" t="s">
        <v>54</v>
      </c>
      <c r="C10" s="5" t="s">
        <v>55</v>
      </c>
      <c r="D10" s="10">
        <v>500</v>
      </c>
      <c r="E10" s="5">
        <v>50</v>
      </c>
      <c r="F10" s="5" t="s">
        <v>28</v>
      </c>
      <c r="H10" s="19" t="str">
        <v>Tablet</v>
      </c>
      <c r="J10" s="25">
        <f t="shared" si="0"/>
        <v>46270</v>
      </c>
      <c r="K10" s="21" t="str">
        <f t="shared" si="1"/>
        <v>UK</v>
      </c>
      <c r="M10" s="9" t="str">
        <f t="shared" si="2"/>
        <v>Apple Tablet</v>
      </c>
    </row>
    <row r="11" spans="1:15" x14ac:dyDescent="0.25">
      <c r="A11" s="8" t="s">
        <v>56</v>
      </c>
      <c r="B11" s="8" t="s">
        <v>57</v>
      </c>
      <c r="C11" s="8" t="s">
        <v>58</v>
      </c>
      <c r="D11" s="11">
        <v>130</v>
      </c>
      <c r="E11" s="8">
        <v>10</v>
      </c>
      <c r="F11" s="8" t="s">
        <v>59</v>
      </c>
      <c r="H11" s="19" t="str">
        <v>Hiking Boots</v>
      </c>
      <c r="J11" s="25">
        <f t="shared" si="0"/>
        <v>46309</v>
      </c>
      <c r="K11" s="21" t="str">
        <f t="shared" si="1"/>
        <v>UK</v>
      </c>
      <c r="M11" s="9" t="str">
        <f t="shared" si="2"/>
        <v>Timberland Hiking Boots</v>
      </c>
    </row>
    <row r="12" spans="1:15" x14ac:dyDescent="0.25">
      <c r="A12" s="5" t="s">
        <v>60</v>
      </c>
      <c r="B12" s="5" t="s">
        <v>61</v>
      </c>
      <c r="C12" s="5" t="s">
        <v>62</v>
      </c>
      <c r="D12" s="10">
        <v>950</v>
      </c>
      <c r="E12" s="5">
        <v>25</v>
      </c>
      <c r="F12" s="5" t="s">
        <v>28</v>
      </c>
      <c r="H12" s="19" t="str">
        <v>Laptop</v>
      </c>
      <c r="J12" s="25">
        <f t="shared" si="0"/>
        <v>46190</v>
      </c>
      <c r="K12" s="21" t="str">
        <f t="shared" si="1"/>
        <v>IN</v>
      </c>
      <c r="M12" s="9" t="str">
        <f t="shared" si="2"/>
        <v>HP Laptop</v>
      </c>
    </row>
    <row r="13" spans="1:15" x14ac:dyDescent="0.25">
      <c r="A13" s="8" t="s">
        <v>63</v>
      </c>
      <c r="B13" s="8" t="s">
        <v>30</v>
      </c>
      <c r="C13" s="8" t="s">
        <v>49</v>
      </c>
      <c r="D13" s="11">
        <v>90</v>
      </c>
      <c r="E13" s="8">
        <v>40</v>
      </c>
      <c r="F13" s="18" t="s">
        <v>32</v>
      </c>
      <c r="H13" s="19" t="str">
        <v>Sneakers</v>
      </c>
      <c r="J13" s="25">
        <f t="shared" si="0"/>
        <v>46351</v>
      </c>
      <c r="K13" s="21" t="str">
        <f t="shared" si="1"/>
        <v>AU</v>
      </c>
      <c r="M13" s="9" t="str">
        <f t="shared" si="2"/>
        <v>Adidas Sneakers</v>
      </c>
    </row>
    <row r="14" spans="1:15" x14ac:dyDescent="0.25">
      <c r="A14" s="5" t="s">
        <v>64</v>
      </c>
      <c r="B14" s="5" t="s">
        <v>34</v>
      </c>
      <c r="C14" s="5" t="s">
        <v>65</v>
      </c>
      <c r="D14" s="10">
        <v>120</v>
      </c>
      <c r="E14" s="5">
        <v>35</v>
      </c>
      <c r="F14" s="17" t="s">
        <v>36</v>
      </c>
      <c r="H14" s="19" t="str">
        <v>Coffee Maker</v>
      </c>
      <c r="J14" s="25">
        <f t="shared" si="0"/>
        <v>46364</v>
      </c>
      <c r="K14" s="21" t="str">
        <f t="shared" si="1"/>
        <v>DE</v>
      </c>
      <c r="M14" s="9" t="str">
        <f t="shared" si="2"/>
        <v>Nespresso Coffee Maker</v>
      </c>
    </row>
    <row r="15" spans="1:15" x14ac:dyDescent="0.25">
      <c r="A15" s="8" t="s">
        <v>66</v>
      </c>
      <c r="B15" s="8" t="s">
        <v>67</v>
      </c>
      <c r="C15" s="8" t="s">
        <v>68</v>
      </c>
      <c r="D15" s="11">
        <v>150</v>
      </c>
      <c r="E15" s="8">
        <v>15</v>
      </c>
      <c r="F15" s="8" t="s">
        <v>28</v>
      </c>
      <c r="H15" s="19" t="str">
        <v>Smartwatch</v>
      </c>
      <c r="J15" s="25">
        <f t="shared" si="0"/>
        <v>46071</v>
      </c>
      <c r="K15" s="21" t="str">
        <f t="shared" si="1"/>
        <v>CA</v>
      </c>
      <c r="M15" s="9" t="str">
        <f t="shared" si="2"/>
        <v>Fitbit Smartwatch</v>
      </c>
    </row>
    <row r="16" spans="1:15" x14ac:dyDescent="0.25">
      <c r="A16" s="5" t="s">
        <v>69</v>
      </c>
      <c r="B16" s="5" t="s">
        <v>70</v>
      </c>
      <c r="C16" s="5" t="s">
        <v>71</v>
      </c>
      <c r="D16" s="10">
        <v>250</v>
      </c>
      <c r="E16" s="5">
        <v>20</v>
      </c>
      <c r="F16" s="5" t="s">
        <v>28</v>
      </c>
      <c r="H16" s="19" t="str">
        <v>Headphones</v>
      </c>
      <c r="J16" s="25">
        <f t="shared" si="0"/>
        <v>46128</v>
      </c>
      <c r="K16" s="21" t="str">
        <f t="shared" si="1"/>
        <v>ES</v>
      </c>
      <c r="M16" s="9" t="str">
        <f t="shared" si="2"/>
        <v>Bose Headphones</v>
      </c>
    </row>
    <row r="17" spans="1:13" x14ac:dyDescent="0.25">
      <c r="A17" s="8" t="s">
        <v>72</v>
      </c>
      <c r="B17" s="8" t="s">
        <v>73</v>
      </c>
      <c r="C17" s="8" t="s">
        <v>74</v>
      </c>
      <c r="D17" s="11">
        <v>50</v>
      </c>
      <c r="E17" s="8">
        <v>35</v>
      </c>
      <c r="F17" s="8" t="s">
        <v>75</v>
      </c>
      <c r="H17" s="19" t="str">
        <v>Laptop Bag</v>
      </c>
      <c r="J17" s="25">
        <f t="shared" si="0"/>
        <v>46255</v>
      </c>
      <c r="K17" s="21" t="str">
        <f t="shared" si="1"/>
        <v>CA</v>
      </c>
      <c r="M17" s="9" t="str">
        <f t="shared" si="2"/>
        <v>Samsonite Laptop Bag</v>
      </c>
    </row>
    <row r="18" spans="1:13" x14ac:dyDescent="0.25">
      <c r="A18" s="5" t="s">
        <v>76</v>
      </c>
      <c r="B18" s="5" t="s">
        <v>67</v>
      </c>
      <c r="C18" s="5" t="s">
        <v>77</v>
      </c>
      <c r="D18" s="10">
        <v>160</v>
      </c>
      <c r="E18" s="5">
        <v>15</v>
      </c>
      <c r="F18" s="5" t="s">
        <v>28</v>
      </c>
      <c r="H18" s="19" t="str">
        <v>Smartwatch</v>
      </c>
      <c r="J18" s="25">
        <f t="shared" si="0"/>
        <v>46254</v>
      </c>
      <c r="K18" s="21" t="str">
        <f t="shared" si="1"/>
        <v>CN</v>
      </c>
      <c r="M18" s="9" t="str">
        <f t="shared" si="2"/>
        <v>Huawei Smartwatch</v>
      </c>
    </row>
    <row r="19" spans="1:13" x14ac:dyDescent="0.25">
      <c r="A19" s="8" t="s">
        <v>78</v>
      </c>
      <c r="B19" s="8" t="s">
        <v>26</v>
      </c>
      <c r="C19" s="8" t="s">
        <v>79</v>
      </c>
      <c r="D19" s="11">
        <v>980</v>
      </c>
      <c r="E19" s="8">
        <v>10</v>
      </c>
      <c r="F19" s="8" t="s">
        <v>28</v>
      </c>
      <c r="H19" s="19" t="str">
        <v>Laptop</v>
      </c>
      <c r="J19" s="25">
        <f t="shared" si="0"/>
        <v>46049</v>
      </c>
      <c r="K19" s="21" t="str">
        <f t="shared" si="1"/>
        <v>IT</v>
      </c>
      <c r="M19" s="9" t="str">
        <f t="shared" si="2"/>
        <v>Asus Laptop</v>
      </c>
    </row>
    <row r="20" spans="1:13" x14ac:dyDescent="0.25">
      <c r="A20" s="5" t="s">
        <v>80</v>
      </c>
      <c r="B20" s="5" t="s">
        <v>81</v>
      </c>
      <c r="C20" s="5" t="s">
        <v>82</v>
      </c>
      <c r="D20" s="10">
        <v>150</v>
      </c>
      <c r="E20" s="5">
        <v>15</v>
      </c>
      <c r="F20" s="5" t="s">
        <v>32</v>
      </c>
      <c r="H20" s="19" t="str">
        <v>Sunglasses</v>
      </c>
      <c r="J20" s="25">
        <f t="shared" si="0"/>
        <v>46082</v>
      </c>
      <c r="K20" s="21" t="str">
        <f t="shared" si="1"/>
        <v>UK</v>
      </c>
      <c r="M20" s="9" t="str">
        <f t="shared" si="2"/>
        <v>Oakley Sunglasses</v>
      </c>
    </row>
    <row r="21" spans="1:13" x14ac:dyDescent="0.25">
      <c r="A21" s="8" t="s">
        <v>83</v>
      </c>
      <c r="B21" s="8" t="s">
        <v>84</v>
      </c>
      <c r="C21" s="8" t="s">
        <v>85</v>
      </c>
      <c r="D21" s="11">
        <v>130</v>
      </c>
      <c r="E21" s="8">
        <v>10</v>
      </c>
      <c r="F21" s="8" t="s">
        <v>59</v>
      </c>
      <c r="H21" s="19" t="str">
        <v>Camping Tent</v>
      </c>
      <c r="J21" s="25">
        <f t="shared" si="0"/>
        <v>46248</v>
      </c>
      <c r="K21" s="21" t="str">
        <f t="shared" si="1"/>
        <v>US</v>
      </c>
      <c r="M21" s="9" t="str">
        <f t="shared" si="2"/>
        <v>Coleman Camping Tent</v>
      </c>
    </row>
    <row r="22" spans="1:13" x14ac:dyDescent="0.25">
      <c r="A22" s="5" t="s">
        <v>86</v>
      </c>
      <c r="B22" s="5" t="s">
        <v>87</v>
      </c>
      <c r="C22" s="5" t="s">
        <v>88</v>
      </c>
      <c r="D22" s="10">
        <v>700</v>
      </c>
      <c r="E22" s="5">
        <v>50</v>
      </c>
      <c r="F22" s="5" t="s">
        <v>28</v>
      </c>
      <c r="H22" s="19" t="str">
        <v>Camera</v>
      </c>
      <c r="J22" s="25">
        <f t="shared" si="0"/>
        <v>46156</v>
      </c>
      <c r="K22" s="21" t="str">
        <f t="shared" si="1"/>
        <v>RU</v>
      </c>
      <c r="M22" s="9" t="str">
        <f t="shared" si="2"/>
        <v>Nikon Camera</v>
      </c>
    </row>
    <row r="23" spans="1:13" x14ac:dyDescent="0.25">
      <c r="A23" s="8" t="s">
        <v>89</v>
      </c>
      <c r="B23" s="8" t="s">
        <v>90</v>
      </c>
      <c r="C23" s="8" t="s">
        <v>91</v>
      </c>
      <c r="D23" s="11">
        <v>80</v>
      </c>
      <c r="E23" s="8">
        <v>20</v>
      </c>
      <c r="F23" s="8" t="s">
        <v>36</v>
      </c>
      <c r="H23" s="19" t="str">
        <v>Microwave</v>
      </c>
      <c r="J23" s="25">
        <f t="shared" si="0"/>
        <v>46031</v>
      </c>
      <c r="K23" s="21" t="str">
        <f t="shared" si="1"/>
        <v>CA</v>
      </c>
      <c r="M23" s="9" t="str">
        <f t="shared" si="2"/>
        <v>Panasonic Microwave</v>
      </c>
    </row>
    <row r="24" spans="1:13" x14ac:dyDescent="0.25">
      <c r="A24" s="5" t="s">
        <v>92</v>
      </c>
      <c r="B24" s="5" t="s">
        <v>93</v>
      </c>
      <c r="C24" s="5" t="s">
        <v>94</v>
      </c>
      <c r="D24" s="10">
        <v>150</v>
      </c>
      <c r="E24" s="5">
        <v>30</v>
      </c>
      <c r="F24" s="17" t="s">
        <v>28</v>
      </c>
      <c r="H24" s="19" t="str">
        <v>Fitness Tracker</v>
      </c>
      <c r="J24" s="25">
        <f t="shared" si="0"/>
        <v>46222</v>
      </c>
      <c r="K24" s="21" t="str">
        <f t="shared" si="1"/>
        <v>BR</v>
      </c>
      <c r="M24" s="9" t="str">
        <f t="shared" si="2"/>
        <v>Xiaomi Fitness Tracker</v>
      </c>
    </row>
    <row r="25" spans="1:13" x14ac:dyDescent="0.25">
      <c r="A25" s="5" t="s">
        <v>95</v>
      </c>
      <c r="B25" s="5" t="s">
        <v>96</v>
      </c>
      <c r="C25" s="5" t="s">
        <v>97</v>
      </c>
      <c r="D25" s="10">
        <v>800</v>
      </c>
      <c r="E25" s="5">
        <v>45</v>
      </c>
      <c r="F25" s="5" t="s">
        <v>28</v>
      </c>
      <c r="H25" s="19" t="str">
        <v>Smartphone</v>
      </c>
      <c r="J25" s="25">
        <f t="shared" si="0"/>
        <v>46294</v>
      </c>
      <c r="K25" s="21" t="str">
        <f t="shared" si="1"/>
        <v>CA</v>
      </c>
      <c r="M25" s="9" t="str">
        <f t="shared" si="2"/>
        <v>Google Smartphone</v>
      </c>
    </row>
    <row r="26" spans="1:13" x14ac:dyDescent="0.25">
      <c r="A26" s="8" t="s">
        <v>98</v>
      </c>
      <c r="B26" s="8" t="s">
        <v>81</v>
      </c>
      <c r="C26" s="8" t="s">
        <v>99</v>
      </c>
      <c r="D26" s="11">
        <v>130</v>
      </c>
      <c r="E26" s="8">
        <v>25</v>
      </c>
      <c r="F26" s="8" t="s">
        <v>32</v>
      </c>
      <c r="H26" s="19" t="str">
        <v>Sunglasses</v>
      </c>
      <c r="J26" s="25">
        <f t="shared" si="0"/>
        <v>46176</v>
      </c>
      <c r="K26" s="21" t="str">
        <f t="shared" si="1"/>
        <v>CA</v>
      </c>
      <c r="M26" s="9" t="str">
        <f t="shared" si="2"/>
        <v>Ray-Ban Sunglasses</v>
      </c>
    </row>
    <row r="27" spans="1:13" x14ac:dyDescent="0.25">
      <c r="A27" s="5" t="s">
        <v>100</v>
      </c>
      <c r="B27" s="5" t="s">
        <v>51</v>
      </c>
      <c r="C27" s="5" t="s">
        <v>101</v>
      </c>
      <c r="D27" s="10">
        <v>400</v>
      </c>
      <c r="E27" s="5">
        <v>40</v>
      </c>
      <c r="F27" s="5" t="s">
        <v>36</v>
      </c>
      <c r="H27" s="19" t="str">
        <v>Blender</v>
      </c>
      <c r="J27" s="25">
        <f t="shared" si="0"/>
        <v>46214</v>
      </c>
      <c r="K27" s="21" t="str">
        <f t="shared" si="1"/>
        <v>CA</v>
      </c>
      <c r="M27" s="9" t="str">
        <f t="shared" si="2"/>
        <v>Vitamix Blender</v>
      </c>
    </row>
    <row r="28" spans="1:13" x14ac:dyDescent="0.25">
      <c r="A28" s="5" t="s">
        <v>102</v>
      </c>
      <c r="B28" s="5" t="s">
        <v>103</v>
      </c>
      <c r="C28" s="5" t="s">
        <v>104</v>
      </c>
      <c r="D28" s="10">
        <v>60</v>
      </c>
      <c r="E28" s="5">
        <v>30</v>
      </c>
      <c r="F28" s="5" t="s">
        <v>32</v>
      </c>
      <c r="H28" s="19" t="str">
        <v>Dress</v>
      </c>
      <c r="J28" s="25">
        <f t="shared" si="0"/>
        <v>46088</v>
      </c>
      <c r="K28" s="21" t="str">
        <f t="shared" si="1"/>
        <v>CA</v>
      </c>
      <c r="M28" s="9" t="str">
        <f t="shared" si="2"/>
        <v>Zara Dress</v>
      </c>
    </row>
    <row r="29" spans="1:13" x14ac:dyDescent="0.25">
      <c r="A29" s="8" t="s">
        <v>105</v>
      </c>
      <c r="B29" s="8" t="s">
        <v>106</v>
      </c>
      <c r="C29" s="8" t="s">
        <v>107</v>
      </c>
      <c r="D29" s="11">
        <v>40</v>
      </c>
      <c r="E29" s="8">
        <v>10</v>
      </c>
      <c r="F29" s="8" t="s">
        <v>36</v>
      </c>
      <c r="H29" s="19" t="str">
        <v>Toaster</v>
      </c>
      <c r="J29" s="25">
        <f t="shared" si="0"/>
        <v>46125</v>
      </c>
      <c r="K29" s="21" t="str">
        <f t="shared" si="1"/>
        <v>CA</v>
      </c>
      <c r="M29" s="9" t="str">
        <f t="shared" si="2"/>
        <v>Hamilton Toaster</v>
      </c>
    </row>
    <row r="30" spans="1:13" x14ac:dyDescent="0.25">
      <c r="A30" s="5" t="s">
        <v>108</v>
      </c>
      <c r="B30" s="5" t="s">
        <v>93</v>
      </c>
      <c r="C30" s="5" t="s">
        <v>109</v>
      </c>
      <c r="D30" s="10">
        <v>130</v>
      </c>
      <c r="E30" s="5">
        <v>5</v>
      </c>
      <c r="F30" s="5" t="s">
        <v>28</v>
      </c>
      <c r="H30" s="19" t="str">
        <v>Fitness Tracker</v>
      </c>
      <c r="J30" s="25">
        <f t="shared" si="0"/>
        <v>46166</v>
      </c>
      <c r="K30" s="21" t="str">
        <f t="shared" si="1"/>
        <v>CA</v>
      </c>
      <c r="M30" s="9" t="str">
        <f t="shared" si="2"/>
        <v>Garmin Fitness Tracker</v>
      </c>
    </row>
    <row r="31" spans="1:13" x14ac:dyDescent="0.25">
      <c r="A31" s="8" t="s">
        <v>110</v>
      </c>
      <c r="B31" s="8" t="s">
        <v>111</v>
      </c>
      <c r="C31" s="8" t="s">
        <v>112</v>
      </c>
      <c r="D31" s="11">
        <v>50</v>
      </c>
      <c r="E31" s="8">
        <v>50</v>
      </c>
      <c r="F31" s="8" t="s">
        <v>32</v>
      </c>
      <c r="H31" s="19" t="str">
        <v>Jeans</v>
      </c>
      <c r="J31" s="25">
        <f t="shared" si="0"/>
        <v>46358</v>
      </c>
      <c r="K31" s="21" t="str">
        <f t="shared" si="1"/>
        <v>CA</v>
      </c>
      <c r="M31" s="9" t="str">
        <f t="shared" si="2"/>
        <v>Levi's Jeans</v>
      </c>
    </row>
    <row r="32" spans="1:13" x14ac:dyDescent="0.25">
      <c r="A32" s="8" t="s">
        <v>113</v>
      </c>
      <c r="B32" s="8" t="s">
        <v>114</v>
      </c>
      <c r="C32" s="8" t="s">
        <v>115</v>
      </c>
      <c r="D32" s="11">
        <v>100</v>
      </c>
      <c r="E32" s="8">
        <v>20</v>
      </c>
      <c r="F32" s="8" t="s">
        <v>75</v>
      </c>
      <c r="H32" s="19" t="str">
        <v>Watch</v>
      </c>
      <c r="J32" s="25">
        <f t="shared" si="0"/>
        <v>46212</v>
      </c>
      <c r="K32" s="21" t="str">
        <f t="shared" si="1"/>
        <v>FR</v>
      </c>
      <c r="M32" s="9" t="str">
        <f t="shared" si="2"/>
        <v>Casio Watch</v>
      </c>
    </row>
    <row r="33" spans="4:8" x14ac:dyDescent="0.25">
      <c r="D33"/>
      <c r="H33" s="20" t="str">
        <v/>
      </c>
    </row>
    <row r="34" spans="4:8" x14ac:dyDescent="0.25">
      <c r="D34"/>
      <c r="H34" s="20" t="str">
        <v/>
      </c>
    </row>
    <row r="35" spans="4:8" x14ac:dyDescent="0.25">
      <c r="D35"/>
      <c r="H35" s="20" t="str">
        <v/>
      </c>
    </row>
  </sheetData>
  <conditionalFormatting sqref="D1:D32 D36:D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{FCC46F1F-02B2-499E-AE22-BADC0CF377EC}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46F1F-02B2-499E-AE22-BADC0CF3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D1:D32 D36:D1048576</xm:sqref>
        </x14:conditionalFormatting>
        <x14:conditionalFormatting xmlns:xm="http://schemas.microsoft.com/office/excel/2006/main">
          <x14:cfRule type="containsText" priority="3" operator="containsText" id="{EFCC09F0-D9C3-4709-8C9D-E44B0B79B0CD}">
            <xm:f>NOT(ISERROR(SEARCH($F$2,F2)))</xm:f>
            <xm:f>$F$2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4" operator="containsText" id="{4A40B619-E259-4565-9A74-DFBB412EB37B}">
            <xm:f>NOT(ISERROR(SEARCH($F$2,F2)))</xm:f>
            <xm:f>$F$2</xm:f>
            <x14:dxf>
              <fill>
                <patternFill>
                  <bgColor theme="4" tint="0.59996337778862885"/>
                </patternFill>
              </fill>
            </x14:dxf>
          </x14:cfRule>
          <xm:sqref>F2:F32 F36:F1048576</xm:sqref>
        </x14:conditionalFormatting>
        <x14:conditionalFormatting xmlns:xm="http://schemas.microsoft.com/office/excel/2006/main">
          <x14:cfRule type="containsText" priority="2" operator="containsText" id="{48EDC4D3-F5EB-4083-923F-3271E26656D7}">
            <xm:f>NOT(ISERROR(SEARCH($F$2,F2)))</xm:f>
            <xm:f>$F$2</xm:f>
            <x14:dxf>
              <fill>
                <patternFill>
                  <bgColor rgb="FFFFFF0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1" operator="containsText" id="{88E1EDEA-436B-45E0-B844-DE0D08A2970B}">
            <xm:f>NOT(ISERROR(SEARCH($F$2,F2)))</xm:f>
            <xm:f>$F$2</xm:f>
            <x14:dxf>
              <fill>
                <patternFill>
                  <bgColor rgb="FFFFFF00"/>
                </patternFill>
              </fill>
            </x14:dxf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rijas olakkal</dc:creator>
  <cp:lastModifiedBy>rijas olakkal</cp:lastModifiedBy>
  <dcterms:created xsi:type="dcterms:W3CDTF">2026-09-19T08:39:45Z</dcterms:created>
  <dcterms:modified xsi:type="dcterms:W3CDTF">2026-09-21T14:00:22Z</dcterms:modified>
</cp:coreProperties>
</file>